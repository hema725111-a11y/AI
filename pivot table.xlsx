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51fcee3d7a0d2e3/"/>
    </mc:Choice>
  </mc:AlternateContent>
  <xr:revisionPtr revIDLastSave="0" documentId="8_{78072A75-CD59-491B-A1DC-372B43A905C7}" xr6:coauthVersionLast="47" xr6:coauthVersionMax="47" xr10:uidLastSave="{00000000-0000-0000-0000-000000000000}"/>
  <bookViews>
    <workbookView xWindow="-108" yWindow="-108" windowWidth="23256" windowHeight="12456" activeTab="1" xr2:uid="{F76DE695-B18B-4CC1-90F2-83DFBE435E8D}"/>
  </bookViews>
  <sheets>
    <sheet name="Table" sheetId="1" r:id="rId1"/>
    <sheet name="pivot table" sheetId="3" r:id="rId2"/>
    <sheet name="graphical rep" sheetId="5" r:id="rId3"/>
  </sheets>
  <definedNames>
    <definedName name="Slicer_department">#N/A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3" i="1" l="1"/>
  <c r="L13" i="1"/>
  <c r="M12" i="1"/>
  <c r="L12" i="1"/>
  <c r="M11" i="1"/>
  <c r="L11" i="1"/>
  <c r="M10" i="1"/>
  <c r="L10" i="1"/>
  <c r="M9" i="1"/>
  <c r="L9" i="1"/>
  <c r="M8" i="1"/>
  <c r="L8" i="1"/>
  <c r="M7" i="1"/>
  <c r="L7" i="1"/>
  <c r="M6" i="1"/>
  <c r="L6" i="1"/>
  <c r="M5" i="1"/>
  <c r="L5" i="1"/>
  <c r="M4" i="1"/>
  <c r="L4" i="1"/>
</calcChain>
</file>

<file path=xl/sharedStrings.xml><?xml version="1.0" encoding="utf-8"?>
<sst xmlns="http://schemas.openxmlformats.org/spreadsheetml/2006/main" count="108" uniqueCount="40">
  <si>
    <t>s.no</t>
  </si>
  <si>
    <t>name</t>
  </si>
  <si>
    <t>department</t>
  </si>
  <si>
    <t>maths</t>
  </si>
  <si>
    <t>physics</t>
  </si>
  <si>
    <t>programming</t>
  </si>
  <si>
    <t>eng drawing</t>
  </si>
  <si>
    <t>english</t>
  </si>
  <si>
    <t>total</t>
  </si>
  <si>
    <t>avg</t>
  </si>
  <si>
    <t>result</t>
  </si>
  <si>
    <t>performance</t>
  </si>
  <si>
    <t>Ram</t>
  </si>
  <si>
    <t>AIDS</t>
  </si>
  <si>
    <t>Raj</t>
  </si>
  <si>
    <t>EEE</t>
  </si>
  <si>
    <t>Mohan</t>
  </si>
  <si>
    <t>AIML</t>
  </si>
  <si>
    <t>Jyoshi</t>
  </si>
  <si>
    <t>ECE</t>
  </si>
  <si>
    <t>Hareni</t>
  </si>
  <si>
    <t>CSE</t>
  </si>
  <si>
    <t>Maanasa</t>
  </si>
  <si>
    <t>CCE</t>
  </si>
  <si>
    <t>Siva</t>
  </si>
  <si>
    <t>Sobi</t>
  </si>
  <si>
    <t>Mech</t>
  </si>
  <si>
    <t>Hasini</t>
  </si>
  <si>
    <t>VLSI</t>
  </si>
  <si>
    <t>Ruba</t>
  </si>
  <si>
    <t>CYBER</t>
  </si>
  <si>
    <t>Row Labels</t>
  </si>
  <si>
    <t>Grand Total</t>
  </si>
  <si>
    <t>Sum of maths</t>
  </si>
  <si>
    <t>Sum of physics</t>
  </si>
  <si>
    <t>Sum of programming</t>
  </si>
  <si>
    <t>Sum of eng drawing</t>
  </si>
  <si>
    <t>Sum of english</t>
  </si>
  <si>
    <t>PASS</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</si>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</sst>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MATHS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table'!$A$4:$A$14</c:f>
              <c:strCache>
                <c:ptCount val="10"/>
                <c:pt idx="0">
                  <c:v>Hareni</c:v>
                </c:pt>
                <c:pt idx="1">
                  <c:v>Hasini</c:v>
                </c:pt>
                <c:pt idx="2">
                  <c:v>Jyoshi</c:v>
                </c:pt>
                <c:pt idx="3">
                  <c:v>Maanasa</c:v>
                </c:pt>
                <c:pt idx="4">
                  <c:v>Mohan</c:v>
                </c:pt>
                <c:pt idx="5">
                  <c:v>Raj</c:v>
                </c:pt>
                <c:pt idx="6">
                  <c:v>Ram</c:v>
                </c:pt>
                <c:pt idx="7">
                  <c:v>Ruba</c:v>
                </c:pt>
                <c:pt idx="8">
                  <c:v>Siva</c:v>
                </c:pt>
                <c:pt idx="9">
                  <c:v>Sobi</c:v>
                </c:pt>
              </c:strCache>
            </c:strRef>
          </c:cat>
          <c:val>
            <c:numRef>
              <c:f>'pivot table'!$B$4:$B$14</c:f>
              <c:numCache>
                <c:formatCode>General</c:formatCode>
                <c:ptCount val="10"/>
                <c:pt idx="0">
                  <c:v>95</c:v>
                </c:pt>
                <c:pt idx="1">
                  <c:v>85</c:v>
                </c:pt>
                <c:pt idx="2">
                  <c:v>85</c:v>
                </c:pt>
                <c:pt idx="3">
                  <c:v>90</c:v>
                </c:pt>
                <c:pt idx="4">
                  <c:v>87</c:v>
                </c:pt>
                <c:pt idx="5">
                  <c:v>85</c:v>
                </c:pt>
                <c:pt idx="6">
                  <c:v>90</c:v>
                </c:pt>
                <c:pt idx="7">
                  <c:v>86</c:v>
                </c:pt>
                <c:pt idx="8">
                  <c:v>92</c:v>
                </c:pt>
                <c:pt idx="9">
                  <c:v>80</c:v>
                </c:pt>
              </c:numCache>
            </c:numRef>
          </c:val>
          <c:smooth val="0"/>
          <c:extLst>
            <c:ext xmlns:c16="http://schemas.microsoft.com/office/drawing/2014/chart" uri="{C3380CC4-5D6E-409C-BE32-E72D297353CC}">
              <c16:uniqueId val="{00000000-F3BC-4630-9E6B-56702AB7EF3D}"/>
            </c:ext>
          </c:extLst>
        </c:ser>
        <c:dLbls>
          <c:showLegendKey val="0"/>
          <c:showVal val="0"/>
          <c:showCatName val="0"/>
          <c:showSerName val="0"/>
          <c:showPercent val="0"/>
          <c:showBubbleSize val="0"/>
        </c:dLbls>
        <c:smooth val="0"/>
        <c:axId val="2115650015"/>
        <c:axId val="42712335"/>
      </c:lineChart>
      <c:catAx>
        <c:axId val="21156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2335"/>
        <c:crosses val="autoZero"/>
        <c:auto val="1"/>
        <c:lblAlgn val="ctr"/>
        <c:lblOffset val="100"/>
        <c:noMultiLvlLbl val="0"/>
      </c:catAx>
      <c:valAx>
        <c:axId val="4271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5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PHYSICS MARKS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85-4404-A87D-B55D69A5F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85-4404-A87D-B55D69A5F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85-4404-A87D-B55D69A5F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85-4404-A87D-B55D69A5F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85-4404-A87D-B55D69A5F9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85-4404-A87D-B55D69A5F9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785-4404-A87D-B55D69A5F9D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785-4404-A87D-B55D69A5F9D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785-4404-A87D-B55D69A5F9D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785-4404-A87D-B55D69A5F9DF}"/>
              </c:ext>
            </c:extLst>
          </c:dPt>
          <c:cat>
            <c:strRef>
              <c:f>'pivot table'!$D$4:$D$14</c:f>
              <c:strCache>
                <c:ptCount val="10"/>
                <c:pt idx="0">
                  <c:v>Hareni</c:v>
                </c:pt>
                <c:pt idx="1">
                  <c:v>Hasini</c:v>
                </c:pt>
                <c:pt idx="2">
                  <c:v>Jyoshi</c:v>
                </c:pt>
                <c:pt idx="3">
                  <c:v>Maanasa</c:v>
                </c:pt>
                <c:pt idx="4">
                  <c:v>Mohan</c:v>
                </c:pt>
                <c:pt idx="5">
                  <c:v>Raj</c:v>
                </c:pt>
                <c:pt idx="6">
                  <c:v>Ram</c:v>
                </c:pt>
                <c:pt idx="7">
                  <c:v>Ruba</c:v>
                </c:pt>
                <c:pt idx="8">
                  <c:v>Siva</c:v>
                </c:pt>
                <c:pt idx="9">
                  <c:v>Sobi</c:v>
                </c:pt>
              </c:strCache>
            </c:strRef>
          </c:cat>
          <c:val>
            <c:numRef>
              <c:f>'pivot table'!$E$4:$E$14</c:f>
              <c:numCache>
                <c:formatCode>General</c:formatCode>
                <c:ptCount val="10"/>
                <c:pt idx="0">
                  <c:v>90</c:v>
                </c:pt>
                <c:pt idx="1">
                  <c:v>75</c:v>
                </c:pt>
                <c:pt idx="2">
                  <c:v>87</c:v>
                </c:pt>
                <c:pt idx="3">
                  <c:v>85</c:v>
                </c:pt>
                <c:pt idx="4">
                  <c:v>92</c:v>
                </c:pt>
                <c:pt idx="5">
                  <c:v>80</c:v>
                </c:pt>
                <c:pt idx="6">
                  <c:v>90</c:v>
                </c:pt>
                <c:pt idx="7">
                  <c:v>87</c:v>
                </c:pt>
                <c:pt idx="8">
                  <c:v>93</c:v>
                </c:pt>
                <c:pt idx="9">
                  <c:v>75</c:v>
                </c:pt>
              </c:numCache>
            </c:numRef>
          </c:val>
          <c:extLst>
            <c:ext xmlns:c16="http://schemas.microsoft.com/office/drawing/2014/chart" uri="{C3380CC4-5D6E-409C-BE32-E72D297353CC}">
              <c16:uniqueId val="{00000014-A785-4404-A87D-B55D69A5F9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PROGRAMMING MARKS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table'!$H$3</c:f>
              <c:strCache>
                <c:ptCount val="1"/>
                <c:pt idx="0">
                  <c:v>Total</c:v>
                </c:pt>
              </c:strCache>
            </c:strRef>
          </c:tx>
          <c:spPr>
            <a:solidFill>
              <a:schemeClr val="accent1"/>
            </a:solidFill>
            <a:ln>
              <a:noFill/>
            </a:ln>
            <a:effectLst/>
          </c:spPr>
          <c:cat>
            <c:strRef>
              <c:f>'pivot table'!$G$4:$G$14</c:f>
              <c:strCache>
                <c:ptCount val="10"/>
                <c:pt idx="0">
                  <c:v>Hareni</c:v>
                </c:pt>
                <c:pt idx="1">
                  <c:v>Hasini</c:v>
                </c:pt>
                <c:pt idx="2">
                  <c:v>Jyoshi</c:v>
                </c:pt>
                <c:pt idx="3">
                  <c:v>Maanasa</c:v>
                </c:pt>
                <c:pt idx="4">
                  <c:v>Mohan</c:v>
                </c:pt>
                <c:pt idx="5">
                  <c:v>Raj</c:v>
                </c:pt>
                <c:pt idx="6">
                  <c:v>Ram</c:v>
                </c:pt>
                <c:pt idx="7">
                  <c:v>Ruba</c:v>
                </c:pt>
                <c:pt idx="8">
                  <c:v>Siva</c:v>
                </c:pt>
                <c:pt idx="9">
                  <c:v>Sobi</c:v>
                </c:pt>
              </c:strCache>
            </c:strRef>
          </c:cat>
          <c:val>
            <c:numRef>
              <c:f>'pivot table'!$H$4:$H$14</c:f>
              <c:numCache>
                <c:formatCode>General</c:formatCode>
                <c:ptCount val="10"/>
                <c:pt idx="0">
                  <c:v>93</c:v>
                </c:pt>
                <c:pt idx="1">
                  <c:v>86</c:v>
                </c:pt>
                <c:pt idx="2">
                  <c:v>93</c:v>
                </c:pt>
                <c:pt idx="3">
                  <c:v>87</c:v>
                </c:pt>
                <c:pt idx="4">
                  <c:v>90</c:v>
                </c:pt>
                <c:pt idx="5">
                  <c:v>86</c:v>
                </c:pt>
                <c:pt idx="6">
                  <c:v>90</c:v>
                </c:pt>
                <c:pt idx="7">
                  <c:v>90</c:v>
                </c:pt>
                <c:pt idx="8">
                  <c:v>92</c:v>
                </c:pt>
                <c:pt idx="9">
                  <c:v>78</c:v>
                </c:pt>
              </c:numCache>
            </c:numRef>
          </c:val>
          <c:extLst>
            <c:ext xmlns:c16="http://schemas.microsoft.com/office/drawing/2014/chart" uri="{C3380CC4-5D6E-409C-BE32-E72D297353CC}">
              <c16:uniqueId val="{00000000-C290-480E-B3F4-E9D877F84A49}"/>
            </c:ext>
          </c:extLst>
        </c:ser>
        <c:dLbls>
          <c:showLegendKey val="0"/>
          <c:showVal val="0"/>
          <c:showCatName val="0"/>
          <c:showSerName val="0"/>
          <c:showPercent val="0"/>
          <c:showBubbleSize val="0"/>
        </c:dLbls>
        <c:axId val="2115660223"/>
        <c:axId val="42876015"/>
      </c:areaChart>
      <c:catAx>
        <c:axId val="211566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6015"/>
        <c:crosses val="autoZero"/>
        <c:auto val="1"/>
        <c:lblAlgn val="ctr"/>
        <c:lblOffset val="100"/>
        <c:noMultiLvlLbl val="0"/>
      </c:catAx>
      <c:valAx>
        <c:axId val="4287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60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ENG DRAWINGS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table'!$J$4:$J$5</c:f>
              <c:strCache>
                <c:ptCount val="1"/>
                <c:pt idx="0">
                  <c:v>Hareni</c:v>
                </c:pt>
              </c:strCache>
            </c:strRef>
          </c:cat>
          <c:val>
            <c:numRef>
              <c:f>'pivot table'!$K$4:$K$5</c:f>
              <c:numCache>
                <c:formatCode>General</c:formatCode>
                <c:ptCount val="1"/>
                <c:pt idx="0">
                  <c:v>97</c:v>
                </c:pt>
              </c:numCache>
            </c:numRef>
          </c:val>
          <c:extLst>
            <c:ext xmlns:c16="http://schemas.microsoft.com/office/drawing/2014/chart" uri="{C3380CC4-5D6E-409C-BE32-E72D297353CC}">
              <c16:uniqueId val="{00000000-CCB0-458D-B0FA-CA2DB6A490D6}"/>
            </c:ext>
          </c:extLst>
        </c:ser>
        <c:dLbls>
          <c:showLegendKey val="0"/>
          <c:showVal val="0"/>
          <c:showCatName val="0"/>
          <c:showSerName val="0"/>
          <c:showPercent val="0"/>
          <c:showBubbleSize val="0"/>
        </c:dLbls>
        <c:gapWidth val="219"/>
        <c:overlap val="-27"/>
        <c:axId val="2115663935"/>
        <c:axId val="42729135"/>
      </c:barChart>
      <c:catAx>
        <c:axId val="211566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9135"/>
        <c:crosses val="autoZero"/>
        <c:auto val="1"/>
        <c:lblAlgn val="ctr"/>
        <c:lblOffset val="100"/>
        <c:noMultiLvlLbl val="0"/>
      </c:catAx>
      <c:valAx>
        <c:axId val="4272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6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ENGLISH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table'!$N$3</c:f>
              <c:strCache>
                <c:ptCount val="1"/>
                <c:pt idx="0">
                  <c:v>Total</c:v>
                </c:pt>
              </c:strCache>
            </c:strRef>
          </c:tx>
          <c:spPr>
            <a:ln w="28575" cap="rnd">
              <a:solidFill>
                <a:schemeClr val="accent1"/>
              </a:solidFill>
              <a:round/>
            </a:ln>
            <a:effectLst/>
          </c:spPr>
          <c:marker>
            <c:symbol val="none"/>
          </c:marker>
          <c:cat>
            <c:strRef>
              <c:f>'pivot table'!$M$4:$M$14</c:f>
              <c:strCache>
                <c:ptCount val="10"/>
                <c:pt idx="0">
                  <c:v>Hareni</c:v>
                </c:pt>
                <c:pt idx="1">
                  <c:v>Hasini</c:v>
                </c:pt>
                <c:pt idx="2">
                  <c:v>Jyoshi</c:v>
                </c:pt>
                <c:pt idx="3">
                  <c:v>Maanasa</c:v>
                </c:pt>
                <c:pt idx="4">
                  <c:v>Mohan</c:v>
                </c:pt>
                <c:pt idx="5">
                  <c:v>Raj</c:v>
                </c:pt>
                <c:pt idx="6">
                  <c:v>Ram</c:v>
                </c:pt>
                <c:pt idx="7">
                  <c:v>Ruba</c:v>
                </c:pt>
                <c:pt idx="8">
                  <c:v>Siva</c:v>
                </c:pt>
                <c:pt idx="9">
                  <c:v>Sobi</c:v>
                </c:pt>
              </c:strCache>
            </c:strRef>
          </c:cat>
          <c:val>
            <c:numRef>
              <c:f>'pivot table'!$N$4:$N$14</c:f>
              <c:numCache>
                <c:formatCode>General</c:formatCode>
                <c:ptCount val="10"/>
                <c:pt idx="0">
                  <c:v>92</c:v>
                </c:pt>
                <c:pt idx="1">
                  <c:v>80</c:v>
                </c:pt>
                <c:pt idx="2">
                  <c:v>93</c:v>
                </c:pt>
                <c:pt idx="3">
                  <c:v>86</c:v>
                </c:pt>
                <c:pt idx="4">
                  <c:v>92</c:v>
                </c:pt>
                <c:pt idx="5">
                  <c:v>80</c:v>
                </c:pt>
                <c:pt idx="6">
                  <c:v>85</c:v>
                </c:pt>
                <c:pt idx="7">
                  <c:v>93</c:v>
                </c:pt>
                <c:pt idx="8">
                  <c:v>78</c:v>
                </c:pt>
                <c:pt idx="9">
                  <c:v>75</c:v>
                </c:pt>
              </c:numCache>
            </c:numRef>
          </c:val>
          <c:extLst>
            <c:ext xmlns:c16="http://schemas.microsoft.com/office/drawing/2014/chart" uri="{C3380CC4-5D6E-409C-BE32-E72D297353CC}">
              <c16:uniqueId val="{00000000-D0C5-4A1C-A3CB-F8DABD49370D}"/>
            </c:ext>
          </c:extLst>
        </c:ser>
        <c:dLbls>
          <c:showLegendKey val="0"/>
          <c:showVal val="0"/>
          <c:showCatName val="0"/>
          <c:showSerName val="0"/>
          <c:showPercent val="0"/>
          <c:showBubbleSize val="0"/>
        </c:dLbls>
        <c:axId val="1586186671"/>
        <c:axId val="42813615"/>
      </c:radarChart>
      <c:catAx>
        <c:axId val="15861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3615"/>
        <c:crosses val="autoZero"/>
        <c:auto val="1"/>
        <c:lblAlgn val="ctr"/>
        <c:lblOffset val="100"/>
        <c:noMultiLvlLbl val="0"/>
      </c:catAx>
      <c:valAx>
        <c:axId val="4281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18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C2B2941C-51AE-4E89-B082-921CB9C65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18</xdr:col>
      <xdr:colOff>304800</xdr:colOff>
      <xdr:row>17</xdr:row>
      <xdr:rowOff>0</xdr:rowOff>
    </xdr:to>
    <xdr:graphicFrame macro="">
      <xdr:nvGraphicFramePr>
        <xdr:cNvPr id="3" name="Chart 2">
          <a:extLst>
            <a:ext uri="{FF2B5EF4-FFF2-40B4-BE49-F238E27FC236}">
              <a16:creationId xmlns:a16="http://schemas.microsoft.com/office/drawing/2014/main" id="{0ACB3F6F-368B-4D01-ACAF-CD2FC2D34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8</xdr:col>
      <xdr:colOff>365760</xdr:colOff>
      <xdr:row>34</xdr:row>
      <xdr:rowOff>0</xdr:rowOff>
    </xdr:to>
    <xdr:graphicFrame macro="">
      <xdr:nvGraphicFramePr>
        <xdr:cNvPr id="4" name="Chart 3">
          <a:extLst>
            <a:ext uri="{FF2B5EF4-FFF2-40B4-BE49-F238E27FC236}">
              <a16:creationId xmlns:a16="http://schemas.microsoft.com/office/drawing/2014/main" id="{F461FDAF-3E5B-42E8-BF60-244525F24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19</xdr:row>
      <xdr:rowOff>0</xdr:rowOff>
    </xdr:from>
    <xdr:to>
      <xdr:col>18</xdr:col>
      <xdr:colOff>304800</xdr:colOff>
      <xdr:row>34</xdr:row>
      <xdr:rowOff>0</xdr:rowOff>
    </xdr:to>
    <xdr:graphicFrame macro="">
      <xdr:nvGraphicFramePr>
        <xdr:cNvPr id="5" name="Chart 4">
          <a:extLst>
            <a:ext uri="{FF2B5EF4-FFF2-40B4-BE49-F238E27FC236}">
              <a16:creationId xmlns:a16="http://schemas.microsoft.com/office/drawing/2014/main" id="{17C885D0-E789-4D53-A1EA-91323EB21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19</xdr:row>
      <xdr:rowOff>0</xdr:rowOff>
    </xdr:from>
    <xdr:to>
      <xdr:col>22</xdr:col>
      <xdr:colOff>0</xdr:colOff>
      <xdr:row>33</xdr:row>
      <xdr:rowOff>20955</xdr:rowOff>
    </xdr:to>
    <mc:AlternateContent xmlns:mc="http://schemas.openxmlformats.org/markup-compatibility/2006">
      <mc:Choice xmlns:a14="http://schemas.microsoft.com/office/drawing/2010/main" Requires="a14">
        <xdr:graphicFrame macro="">
          <xdr:nvGraphicFramePr>
            <xdr:cNvPr id="6" name="department 1">
              <a:extLst>
                <a:ext uri="{FF2B5EF4-FFF2-40B4-BE49-F238E27FC236}">
                  <a16:creationId xmlns:a16="http://schemas.microsoft.com/office/drawing/2014/main" id="{2AA8D65A-43B7-494C-BBA6-6598800B114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582400" y="3474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38</xdr:row>
      <xdr:rowOff>0</xdr:rowOff>
    </xdr:from>
    <xdr:to>
      <xdr:col>13</xdr:col>
      <xdr:colOff>304800</xdr:colOff>
      <xdr:row>53</xdr:row>
      <xdr:rowOff>0</xdr:rowOff>
    </xdr:to>
    <xdr:graphicFrame macro="">
      <xdr:nvGraphicFramePr>
        <xdr:cNvPr id="7" name="Chart 6">
          <a:extLst>
            <a:ext uri="{FF2B5EF4-FFF2-40B4-BE49-F238E27FC236}">
              <a16:creationId xmlns:a16="http://schemas.microsoft.com/office/drawing/2014/main" id="{D56EE11F-C23C-41ED-9F13-E9E141FFA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ER" refreshedDate="46276.819590046296" createdVersion="8" refreshedVersion="8" minRefreshableVersion="3" recordCount="10" xr:uid="{CF4D961F-4A21-42EB-B3DF-34C40B4467DC}">
  <cacheSource type="worksheet">
    <worksheetSource name="Table1"/>
  </cacheSource>
  <cacheFields count="12">
    <cacheField name="s.no" numFmtId="0">
      <sharedItems containsSemiMixedTypes="0" containsString="0" containsNumber="1" containsInteger="1" minValue="1" maxValue="10"/>
    </cacheField>
    <cacheField name="name" numFmtId="0">
      <sharedItems count="10">
        <s v="Ram"/>
        <s v="Raj"/>
        <s v="Mohan"/>
        <s v="Jyoshi"/>
        <s v="Hareni"/>
        <s v="Maanasa"/>
        <s v="Siva"/>
        <s v="Sobi"/>
        <s v="Hasini"/>
        <s v="Ruba"/>
      </sharedItems>
    </cacheField>
    <cacheField name="department" numFmtId="0">
      <sharedItems count="9">
        <s v="AIDS"/>
        <s v="EEE"/>
        <s v="AIML"/>
        <s v="ECE"/>
        <s v="CSE"/>
        <s v="CCE"/>
        <s v="Mech"/>
        <s v="VLSI"/>
        <s v="CYBER"/>
      </sharedItems>
    </cacheField>
    <cacheField name="maths" numFmtId="0">
      <sharedItems containsSemiMixedTypes="0" containsString="0" containsNumber="1" containsInteger="1" minValue="80" maxValue="95"/>
    </cacheField>
    <cacheField name="physics" numFmtId="0">
      <sharedItems containsSemiMixedTypes="0" containsString="0" containsNumber="1" containsInteger="1" minValue="75" maxValue="93"/>
    </cacheField>
    <cacheField name="programming" numFmtId="0">
      <sharedItems containsSemiMixedTypes="0" containsString="0" containsNumber="1" containsInteger="1" minValue="78" maxValue="93"/>
    </cacheField>
    <cacheField name="eng drawing" numFmtId="0">
      <sharedItems containsSemiMixedTypes="0" containsString="0" containsNumber="1" containsInteger="1" minValue="75" maxValue="97"/>
    </cacheField>
    <cacheField name="english" numFmtId="0">
      <sharedItems containsSemiMixedTypes="0" containsString="0" containsNumber="1" containsInteger="1" minValue="75" maxValue="93"/>
    </cacheField>
    <cacheField name="total" numFmtId="0">
      <sharedItems containsSemiMixedTypes="0" containsString="0" containsNumber="1" containsInteger="1" minValue="387" maxValue="467"/>
    </cacheField>
    <cacheField name="avg" numFmtId="0">
      <sharedItems containsSemiMixedTypes="0" containsString="0" containsNumber="1" minValue="77.400000000000006" maxValue="93.4"/>
    </cacheField>
    <cacheField name="result" numFmtId="0">
      <sharedItems containsNonDate="0" containsString="0" containsBlank="1"/>
    </cacheField>
    <cacheField name="performance" numFmtId="0">
      <sharedItems containsNonDate="0" containsString="0" containsBlank="1"/>
    </cacheField>
  </cacheFields>
  <extLst>
    <ext xmlns:x14="http://schemas.microsoft.com/office/spreadsheetml/2009/9/main" uri="{725AE2AE-9491-48be-B2B4-4EB974FC3084}">
      <x14:pivotCacheDefinition pivotCacheId="1246214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n v="90"/>
    <n v="90"/>
    <n v="90"/>
    <n v="85"/>
    <n v="85"/>
    <n v="440"/>
    <n v="88"/>
    <m/>
    <m/>
  </r>
  <r>
    <n v="2"/>
    <x v="1"/>
    <x v="1"/>
    <n v="85"/>
    <n v="80"/>
    <n v="86"/>
    <n v="87"/>
    <n v="80"/>
    <n v="418"/>
    <n v="83.6"/>
    <m/>
    <m/>
  </r>
  <r>
    <n v="3"/>
    <x v="2"/>
    <x v="2"/>
    <n v="87"/>
    <n v="92"/>
    <n v="90"/>
    <n v="97"/>
    <n v="92"/>
    <n v="458"/>
    <n v="91.6"/>
    <m/>
    <m/>
  </r>
  <r>
    <n v="4"/>
    <x v="3"/>
    <x v="3"/>
    <n v="85"/>
    <n v="87"/>
    <n v="93"/>
    <n v="90"/>
    <n v="93"/>
    <n v="448"/>
    <n v="89.6"/>
    <m/>
    <m/>
  </r>
  <r>
    <n v="5"/>
    <x v="4"/>
    <x v="4"/>
    <n v="95"/>
    <n v="90"/>
    <n v="93"/>
    <n v="97"/>
    <n v="92"/>
    <n v="467"/>
    <n v="93.4"/>
    <m/>
    <m/>
  </r>
  <r>
    <n v="6"/>
    <x v="5"/>
    <x v="5"/>
    <n v="90"/>
    <n v="85"/>
    <n v="87"/>
    <n v="89"/>
    <n v="86"/>
    <n v="437"/>
    <n v="87.4"/>
    <m/>
    <m/>
  </r>
  <r>
    <n v="7"/>
    <x v="6"/>
    <x v="1"/>
    <n v="92"/>
    <n v="93"/>
    <n v="92"/>
    <n v="75"/>
    <n v="78"/>
    <n v="430"/>
    <n v="86"/>
    <m/>
    <m/>
  </r>
  <r>
    <n v="8"/>
    <x v="7"/>
    <x v="6"/>
    <n v="80"/>
    <n v="75"/>
    <n v="78"/>
    <n v="79"/>
    <n v="75"/>
    <n v="387"/>
    <n v="77.400000000000006"/>
    <m/>
    <m/>
  </r>
  <r>
    <n v="9"/>
    <x v="8"/>
    <x v="7"/>
    <n v="85"/>
    <n v="75"/>
    <n v="86"/>
    <n v="81"/>
    <n v="80"/>
    <n v="407"/>
    <n v="81.400000000000006"/>
    <m/>
    <m/>
  </r>
  <r>
    <n v="10"/>
    <x v="9"/>
    <x v="8"/>
    <n v="86"/>
    <n v="87"/>
    <n v="90"/>
    <n v="92"/>
    <n v="93"/>
    <n v="448"/>
    <n v="89.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ED2BC-F129-47E8-9825-E50DBB060DC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5" firstHeaderRow="1" firstDataRow="1" firstDataCol="1"/>
  <pivotFields count="12">
    <pivotField showAll="0"/>
    <pivotField axis="axisRow" showAll="0">
      <items count="11">
        <item x="4"/>
        <item x="8"/>
        <item x="3"/>
        <item x="5"/>
        <item x="2"/>
        <item x="1"/>
        <item x="0"/>
        <item x="9"/>
        <item x="6"/>
        <item x="7"/>
        <item t="default"/>
      </items>
    </pivotField>
    <pivotField showAll="0">
      <items count="10">
        <item h="1" x="0"/>
        <item h="1" x="2"/>
        <item h="1" x="5"/>
        <item x="4"/>
        <item h="1" x="8"/>
        <item h="1" x="3"/>
        <item h="1" x="1"/>
        <item h="1" x="6"/>
        <item h="1" x="7"/>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2">
    <i>
      <x/>
    </i>
    <i t="grand">
      <x/>
    </i>
  </rowItems>
  <colItems count="1">
    <i/>
  </colItems>
  <dataFields count="1">
    <dataField name="Sum of eng drawing"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A43D72-F119-4CB2-81B2-A36700DD3FA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4" firstHeaderRow="1" firstDataRow="1" firstDataCol="1"/>
  <pivotFields count="12">
    <pivotField showAll="0"/>
    <pivotField axis="axisRow" showAll="0">
      <items count="11">
        <item x="4"/>
        <item x="8"/>
        <item x="3"/>
        <item x="5"/>
        <item x="2"/>
        <item x="1"/>
        <item x="0"/>
        <item x="9"/>
        <item x="6"/>
        <item x="7"/>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english" fld="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4A646-FE6F-4FD6-A936-4CC6904357D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4" firstHeaderRow="1" firstDataRow="1" firstDataCol="1"/>
  <pivotFields count="12">
    <pivotField showAll="0"/>
    <pivotField axis="axisRow" showAll="0">
      <items count="11">
        <item x="4"/>
        <item x="8"/>
        <item x="3"/>
        <item x="5"/>
        <item x="2"/>
        <item x="1"/>
        <item x="0"/>
        <item x="9"/>
        <item x="6"/>
        <item x="7"/>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rogramming" fld="5"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89E98-750C-4346-ABBA-5A0F8B8E1E2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4" firstHeaderRow="1" firstDataRow="1" firstDataCol="1"/>
  <pivotFields count="12">
    <pivotField showAll="0"/>
    <pivotField axis="axisRow" showAll="0">
      <items count="11">
        <item x="4"/>
        <item x="8"/>
        <item x="3"/>
        <item x="5"/>
        <item x="2"/>
        <item x="1"/>
        <item x="0"/>
        <item x="9"/>
        <item x="6"/>
        <item x="7"/>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physics" fld="4" baseField="0" baseItem="0"/>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 chart="3" format="18">
      <pivotArea type="data" outline="0" fieldPosition="0">
        <references count="2">
          <reference field="4294967294" count="1" selected="0">
            <x v="0"/>
          </reference>
          <reference field="1" count="1" selected="0">
            <x v="5"/>
          </reference>
        </references>
      </pivotArea>
    </chartFormat>
    <chartFormat chart="3" format="19">
      <pivotArea type="data" outline="0" fieldPosition="0">
        <references count="2">
          <reference field="4294967294" count="1" selected="0">
            <x v="0"/>
          </reference>
          <reference field="1" count="1" selected="0">
            <x v="6"/>
          </reference>
        </references>
      </pivotArea>
    </chartFormat>
    <chartFormat chart="3" format="20">
      <pivotArea type="data" outline="0" fieldPosition="0">
        <references count="2">
          <reference field="4294967294" count="1" selected="0">
            <x v="0"/>
          </reference>
          <reference field="1" count="1" selected="0">
            <x v="7"/>
          </reference>
        </references>
      </pivotArea>
    </chartFormat>
    <chartFormat chart="3" format="21">
      <pivotArea type="data" outline="0" fieldPosition="0">
        <references count="2">
          <reference field="4294967294" count="1" selected="0">
            <x v="0"/>
          </reference>
          <reference field="1" count="1" selected="0">
            <x v="8"/>
          </reference>
        </references>
      </pivotArea>
    </chartFormat>
    <chartFormat chart="3"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D94581-96C5-43D1-BAC2-7C580C2B46B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2">
    <pivotField showAll="0"/>
    <pivotField axis="axisRow" showAll="0">
      <items count="11">
        <item x="4"/>
        <item x="8"/>
        <item x="3"/>
        <item x="5"/>
        <item x="2"/>
        <item x="1"/>
        <item x="0"/>
        <item x="9"/>
        <item x="6"/>
        <item x="7"/>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math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4D15E8-4EB3-4917-9BC9-96C3643CD385}" sourceName="department">
  <pivotTables>
    <pivotTable tabId="3" name="PivotTable4"/>
  </pivotTables>
  <data>
    <tabular pivotCacheId="1246214363">
      <items count="9">
        <i x="0"/>
        <i x="2"/>
        <i x="5"/>
        <i x="4" s="1"/>
        <i x="8"/>
        <i x="3"/>
        <i x="1"/>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F362894-6F01-4029-80C4-2124BF5324A2}"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18A911-CF18-4F0A-A38A-D8D6CEB6BB03}" name="Table1" displayName="Table1" ref="D3:O13" totalsRowShown="0">
  <autoFilter ref="D3:O13" xr:uid="{8B18A911-CF18-4F0A-A38A-D8D6CEB6BB03}"/>
  <tableColumns count="12">
    <tableColumn id="1" xr3:uid="{AD6CF7C6-2AC7-4CD9-A2EC-5583F284E1FD}" name="s.no"/>
    <tableColumn id="2" xr3:uid="{3F623EC0-A735-4E9C-9CF6-7A6F1F69C7FB}" name="name"/>
    <tableColumn id="3" xr3:uid="{279DAD5F-6333-40F2-91D3-4D323677DB7C}" name="department"/>
    <tableColumn id="4" xr3:uid="{852151DA-64A9-4DB6-8A1F-CDAB8A265398}" name="maths"/>
    <tableColumn id="5" xr3:uid="{516D6D68-FE14-4DB3-B1FD-4A0C3259BFFA}" name="physics"/>
    <tableColumn id="6" xr3:uid="{B4794697-1AC8-4CA2-9BAA-2E2FECD0B616}" name="programming"/>
    <tableColumn id="7" xr3:uid="{71BF8BCF-2873-44D9-A2C0-310EFCEB3D10}" name="eng drawing"/>
    <tableColumn id="8" xr3:uid="{FA8D4A9A-ADAB-46C5-8E90-9CB4681850B7}" name="english"/>
    <tableColumn id="9" xr3:uid="{C0DEA9E1-8AFD-4F1E-AC3B-E231EE54BBE9}" name="total" dataDxfId="1">
      <calculatedColumnFormula>SUM(G4:H4:I4:J4:K4)</calculatedColumnFormula>
    </tableColumn>
    <tableColumn id="10" xr3:uid="{35A26AF8-004E-4468-87BE-C4A6F39FBB50}" name="avg" dataDxfId="0">
      <calculatedColumnFormula>AVERAGE(Table1[[#This Row],[maths]:[english]])</calculatedColumnFormula>
    </tableColumn>
    <tableColumn id="11" xr3:uid="{0F2A5F4E-F9D6-442D-9CC4-74D405E1989C}" name="result"/>
    <tableColumn id="12" xr3:uid="{F4AC563D-6B35-484A-BA26-F6EE23351688}" name="performanc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939C-9FD6-4A5B-9228-A1BC61CBE3A5}">
  <dimension ref="D3:O13"/>
  <sheetViews>
    <sheetView zoomScale="83" workbookViewId="0">
      <selection activeCell="F25" sqref="F25"/>
    </sheetView>
  </sheetViews>
  <sheetFormatPr defaultRowHeight="14.4" x14ac:dyDescent="0.3"/>
  <cols>
    <col min="4" max="4" width="14.88671875" customWidth="1"/>
    <col min="5" max="5" width="13.44140625" customWidth="1"/>
    <col min="6" max="6" width="13" customWidth="1"/>
    <col min="7" max="7" width="12.88671875" customWidth="1"/>
    <col min="8" max="8" width="13.5546875" customWidth="1"/>
    <col min="9" max="9" width="13" customWidth="1"/>
    <col min="10" max="10" width="16.88671875" customWidth="1"/>
    <col min="11" max="11" width="12.77734375" customWidth="1"/>
    <col min="12" max="12" width="14.33203125" customWidth="1"/>
    <col min="13" max="13" width="12.6640625" customWidth="1"/>
    <col min="14" max="14" width="16.33203125" customWidth="1"/>
    <col min="15" max="15" width="14.5546875" customWidth="1"/>
  </cols>
  <sheetData>
    <row r="3" spans="4:15" x14ac:dyDescent="0.3">
      <c r="D3" t="s">
        <v>0</v>
      </c>
      <c r="E3" t="s">
        <v>1</v>
      </c>
      <c r="F3" t="s">
        <v>2</v>
      </c>
      <c r="G3" t="s">
        <v>3</v>
      </c>
      <c r="H3" t="s">
        <v>4</v>
      </c>
      <c r="I3" t="s">
        <v>5</v>
      </c>
      <c r="J3" t="s">
        <v>6</v>
      </c>
      <c r="K3" t="s">
        <v>7</v>
      </c>
      <c r="L3" t="s">
        <v>8</v>
      </c>
      <c r="M3" t="s">
        <v>9</v>
      </c>
      <c r="N3" t="s">
        <v>10</v>
      </c>
      <c r="O3" t="s">
        <v>11</v>
      </c>
    </row>
    <row r="4" spans="4:15" x14ac:dyDescent="0.3">
      <c r="D4">
        <v>1</v>
      </c>
      <c r="E4" t="s">
        <v>12</v>
      </c>
      <c r="F4" t="s">
        <v>13</v>
      </c>
      <c r="G4">
        <v>90</v>
      </c>
      <c r="H4">
        <v>90</v>
      </c>
      <c r="I4">
        <v>90</v>
      </c>
      <c r="J4">
        <v>85</v>
      </c>
      <c r="K4">
        <v>85</v>
      </c>
      <c r="L4">
        <f>SUM(G4:H4:I4:J4:K4)</f>
        <v>440</v>
      </c>
      <c r="M4">
        <f>AVERAGE(Table1[[#This Row],[maths]:[english]])</f>
        <v>88</v>
      </c>
      <c r="N4" t="s">
        <v>38</v>
      </c>
      <c r="O4" t="s">
        <v>39</v>
      </c>
    </row>
    <row r="5" spans="4:15" x14ac:dyDescent="0.3">
      <c r="D5">
        <v>2</v>
      </c>
      <c r="E5" t="s">
        <v>14</v>
      </c>
      <c r="F5" t="s">
        <v>15</v>
      </c>
      <c r="G5">
        <v>85</v>
      </c>
      <c r="H5">
        <v>80</v>
      </c>
      <c r="I5">
        <v>86</v>
      </c>
      <c r="J5">
        <v>87</v>
      </c>
      <c r="K5">
        <v>80</v>
      </c>
      <c r="L5">
        <f>SUM(G5:H5:I5:J5:K5)</f>
        <v>418</v>
      </c>
      <c r="M5">
        <f>AVERAGE(Table1[[#This Row],[maths]:[english]])</f>
        <v>83.6</v>
      </c>
      <c r="N5" t="s">
        <v>38</v>
      </c>
      <c r="O5" t="s">
        <v>39</v>
      </c>
    </row>
    <row r="6" spans="4:15" x14ac:dyDescent="0.3">
      <c r="D6">
        <v>3</v>
      </c>
      <c r="E6" t="s">
        <v>16</v>
      </c>
      <c r="F6" t="s">
        <v>17</v>
      </c>
      <c r="G6">
        <v>87</v>
      </c>
      <c r="H6">
        <v>92</v>
      </c>
      <c r="I6">
        <v>90</v>
      </c>
      <c r="J6">
        <v>97</v>
      </c>
      <c r="K6">
        <v>92</v>
      </c>
      <c r="L6">
        <f>SUM(G6:H6:I6:J6:K6)</f>
        <v>458</v>
      </c>
      <c r="M6">
        <f>AVERAGE(Table1[[#This Row],[maths]:[english]])</f>
        <v>91.6</v>
      </c>
      <c r="N6" t="s">
        <v>38</v>
      </c>
      <c r="O6" t="s">
        <v>39</v>
      </c>
    </row>
    <row r="7" spans="4:15" x14ac:dyDescent="0.3">
      <c r="D7">
        <v>4</v>
      </c>
      <c r="E7" t="s">
        <v>18</v>
      </c>
      <c r="F7" t="s">
        <v>19</v>
      </c>
      <c r="G7">
        <v>85</v>
      </c>
      <c r="H7">
        <v>87</v>
      </c>
      <c r="I7">
        <v>93</v>
      </c>
      <c r="J7">
        <v>90</v>
      </c>
      <c r="K7">
        <v>93</v>
      </c>
      <c r="L7">
        <f>SUM(G7:H7:I7:J7:K7)</f>
        <v>448</v>
      </c>
      <c r="M7">
        <f>AVERAGE(Table1[[#This Row],[maths]:[english]])</f>
        <v>89.6</v>
      </c>
      <c r="N7" t="s">
        <v>38</v>
      </c>
      <c r="O7" t="s">
        <v>39</v>
      </c>
    </row>
    <row r="8" spans="4:15" x14ac:dyDescent="0.3">
      <c r="D8">
        <v>5</v>
      </c>
      <c r="E8" t="s">
        <v>20</v>
      </c>
      <c r="F8" t="s">
        <v>21</v>
      </c>
      <c r="G8">
        <v>95</v>
      </c>
      <c r="H8">
        <v>90</v>
      </c>
      <c r="I8">
        <v>93</v>
      </c>
      <c r="J8">
        <v>97</v>
      </c>
      <c r="K8">
        <v>92</v>
      </c>
      <c r="L8">
        <f>SUM(G8:H8:I8:J8:K8)</f>
        <v>467</v>
      </c>
      <c r="M8">
        <f>AVERAGE(Table1[[#This Row],[maths]:[english]])</f>
        <v>93.4</v>
      </c>
      <c r="N8" t="s">
        <v>38</v>
      </c>
      <c r="O8" t="s">
        <v>39</v>
      </c>
    </row>
    <row r="9" spans="4:15" x14ac:dyDescent="0.3">
      <c r="D9">
        <v>6</v>
      </c>
      <c r="E9" t="s">
        <v>22</v>
      </c>
      <c r="F9" t="s">
        <v>23</v>
      </c>
      <c r="G9">
        <v>90</v>
      </c>
      <c r="H9">
        <v>85</v>
      </c>
      <c r="I9">
        <v>87</v>
      </c>
      <c r="J9">
        <v>89</v>
      </c>
      <c r="K9">
        <v>86</v>
      </c>
      <c r="L9">
        <f>SUM(G9:H9:I9:J9:K9)</f>
        <v>437</v>
      </c>
      <c r="M9">
        <f>AVERAGE(Table1[[#This Row],[maths]:[english]])</f>
        <v>87.4</v>
      </c>
      <c r="N9" t="s">
        <v>38</v>
      </c>
      <c r="O9" t="s">
        <v>39</v>
      </c>
    </row>
    <row r="10" spans="4:15" x14ac:dyDescent="0.3">
      <c r="D10">
        <v>7</v>
      </c>
      <c r="E10" t="s">
        <v>24</v>
      </c>
      <c r="F10" t="s">
        <v>15</v>
      </c>
      <c r="G10">
        <v>92</v>
      </c>
      <c r="H10">
        <v>93</v>
      </c>
      <c r="I10">
        <v>92</v>
      </c>
      <c r="J10">
        <v>75</v>
      </c>
      <c r="K10">
        <v>78</v>
      </c>
      <c r="L10">
        <f>SUM(G10:H10:I10:J10:K10)</f>
        <v>430</v>
      </c>
      <c r="M10">
        <f>AVERAGE(Table1[[#This Row],[maths]:[english]])</f>
        <v>86</v>
      </c>
      <c r="N10" t="s">
        <v>38</v>
      </c>
      <c r="O10" t="s">
        <v>39</v>
      </c>
    </row>
    <row r="11" spans="4:15" x14ac:dyDescent="0.3">
      <c r="D11">
        <v>8</v>
      </c>
      <c r="E11" t="s">
        <v>25</v>
      </c>
      <c r="F11" t="s">
        <v>26</v>
      </c>
      <c r="G11">
        <v>80</v>
      </c>
      <c r="H11">
        <v>75</v>
      </c>
      <c r="I11">
        <v>78</v>
      </c>
      <c r="J11">
        <v>79</v>
      </c>
      <c r="K11">
        <v>75</v>
      </c>
      <c r="L11">
        <f>SUM(G11:H11:I11:J11:K11)</f>
        <v>387</v>
      </c>
      <c r="M11">
        <f>AVERAGE(Table1[[#This Row],[maths]:[english]])</f>
        <v>77.400000000000006</v>
      </c>
      <c r="N11" t="s">
        <v>38</v>
      </c>
      <c r="O11" t="s">
        <v>39</v>
      </c>
    </row>
    <row r="12" spans="4:15" x14ac:dyDescent="0.3">
      <c r="D12">
        <v>9</v>
      </c>
      <c r="E12" t="s">
        <v>27</v>
      </c>
      <c r="F12" t="s">
        <v>28</v>
      </c>
      <c r="G12">
        <v>85</v>
      </c>
      <c r="H12">
        <v>75</v>
      </c>
      <c r="I12">
        <v>86</v>
      </c>
      <c r="J12">
        <v>81</v>
      </c>
      <c r="K12">
        <v>80</v>
      </c>
      <c r="L12">
        <f>SUM(G12:H12:I12:J12:K12)</f>
        <v>407</v>
      </c>
      <c r="M12">
        <f>AVERAGE(Table1[[#This Row],[maths]:[english]])</f>
        <v>81.400000000000006</v>
      </c>
      <c r="N12" t="s">
        <v>38</v>
      </c>
      <c r="O12" t="s">
        <v>39</v>
      </c>
    </row>
    <row r="13" spans="4:15" x14ac:dyDescent="0.3">
      <c r="D13">
        <v>10</v>
      </c>
      <c r="E13" t="s">
        <v>29</v>
      </c>
      <c r="F13" t="s">
        <v>30</v>
      </c>
      <c r="G13">
        <v>86</v>
      </c>
      <c r="H13">
        <v>87</v>
      </c>
      <c r="I13">
        <v>90</v>
      </c>
      <c r="J13">
        <v>92</v>
      </c>
      <c r="K13">
        <v>93</v>
      </c>
      <c r="L13">
        <f>SUM(G13:H13:I13:J13:K13)</f>
        <v>448</v>
      </c>
      <c r="M13">
        <f>AVERAGE(Table1[[#This Row],[maths]:[english]])</f>
        <v>89.6</v>
      </c>
      <c r="N13" t="s">
        <v>38</v>
      </c>
      <c r="O13"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E568-602B-47C7-9D5B-9491C83B0AD6}">
  <dimension ref="A3:N14"/>
  <sheetViews>
    <sheetView tabSelected="1" workbookViewId="0">
      <selection activeCell="C18" sqref="C18"/>
    </sheetView>
  </sheetViews>
  <sheetFormatPr defaultRowHeight="14.4" x14ac:dyDescent="0.3"/>
  <cols>
    <col min="1" max="1" width="12.44140625" bestFit="1" customWidth="1"/>
    <col min="2" max="2" width="12.21875" bestFit="1" customWidth="1"/>
    <col min="4" max="4" width="12.44140625" bestFit="1" customWidth="1"/>
    <col min="5" max="5" width="13.44140625" bestFit="1" customWidth="1"/>
    <col min="7" max="7" width="12.44140625" bestFit="1" customWidth="1"/>
    <col min="8" max="8" width="18.33203125" bestFit="1" customWidth="1"/>
    <col min="10" max="10" width="12.44140625" bestFit="1" customWidth="1"/>
    <col min="11" max="11" width="16.88671875" bestFit="1" customWidth="1"/>
    <col min="13" max="13" width="12.44140625" bestFit="1" customWidth="1"/>
    <col min="14" max="14" width="12.88671875" bestFit="1" customWidth="1"/>
  </cols>
  <sheetData>
    <row r="3" spans="1:14" x14ac:dyDescent="0.3">
      <c r="A3" s="2" t="s">
        <v>31</v>
      </c>
      <c r="B3" t="s">
        <v>33</v>
      </c>
      <c r="D3" s="2" t="s">
        <v>31</v>
      </c>
      <c r="E3" t="s">
        <v>34</v>
      </c>
      <c r="G3" s="2" t="s">
        <v>31</v>
      </c>
      <c r="H3" t="s">
        <v>35</v>
      </c>
      <c r="J3" s="2" t="s">
        <v>31</v>
      </c>
      <c r="K3" t="s">
        <v>36</v>
      </c>
      <c r="M3" s="2" t="s">
        <v>31</v>
      </c>
      <c r="N3" t="s">
        <v>37</v>
      </c>
    </row>
    <row r="4" spans="1:14" x14ac:dyDescent="0.3">
      <c r="A4" s="3" t="s">
        <v>20</v>
      </c>
      <c r="B4" s="1">
        <v>95</v>
      </c>
      <c r="D4" s="3" t="s">
        <v>20</v>
      </c>
      <c r="E4" s="1">
        <v>90</v>
      </c>
      <c r="G4" s="3" t="s">
        <v>20</v>
      </c>
      <c r="H4" s="1">
        <v>93</v>
      </c>
      <c r="J4" s="3" t="s">
        <v>20</v>
      </c>
      <c r="K4" s="1">
        <v>97</v>
      </c>
      <c r="M4" s="3" t="s">
        <v>20</v>
      </c>
      <c r="N4" s="1">
        <v>92</v>
      </c>
    </row>
    <row r="5" spans="1:14" x14ac:dyDescent="0.3">
      <c r="A5" s="3" t="s">
        <v>27</v>
      </c>
      <c r="B5" s="1">
        <v>85</v>
      </c>
      <c r="D5" s="3" t="s">
        <v>27</v>
      </c>
      <c r="E5" s="1">
        <v>75</v>
      </c>
      <c r="G5" s="3" t="s">
        <v>27</v>
      </c>
      <c r="H5" s="1">
        <v>86</v>
      </c>
      <c r="J5" s="3" t="s">
        <v>32</v>
      </c>
      <c r="K5" s="1">
        <v>97</v>
      </c>
      <c r="M5" s="3" t="s">
        <v>27</v>
      </c>
      <c r="N5" s="1">
        <v>80</v>
      </c>
    </row>
    <row r="6" spans="1:14" x14ac:dyDescent="0.3">
      <c r="A6" s="3" t="s">
        <v>18</v>
      </c>
      <c r="B6" s="1">
        <v>85</v>
      </c>
      <c r="D6" s="3" t="s">
        <v>18</v>
      </c>
      <c r="E6" s="1">
        <v>87</v>
      </c>
      <c r="G6" s="3" t="s">
        <v>18</v>
      </c>
      <c r="H6" s="1">
        <v>93</v>
      </c>
      <c r="M6" s="3" t="s">
        <v>18</v>
      </c>
      <c r="N6" s="1">
        <v>93</v>
      </c>
    </row>
    <row r="7" spans="1:14" x14ac:dyDescent="0.3">
      <c r="A7" s="3" t="s">
        <v>22</v>
      </c>
      <c r="B7" s="1">
        <v>90</v>
      </c>
      <c r="D7" s="3" t="s">
        <v>22</v>
      </c>
      <c r="E7" s="1">
        <v>85</v>
      </c>
      <c r="G7" s="3" t="s">
        <v>22</v>
      </c>
      <c r="H7" s="1">
        <v>87</v>
      </c>
      <c r="M7" s="3" t="s">
        <v>22</v>
      </c>
      <c r="N7" s="1">
        <v>86</v>
      </c>
    </row>
    <row r="8" spans="1:14" x14ac:dyDescent="0.3">
      <c r="A8" s="3" t="s">
        <v>16</v>
      </c>
      <c r="B8" s="1">
        <v>87</v>
      </c>
      <c r="D8" s="3" t="s">
        <v>16</v>
      </c>
      <c r="E8" s="1">
        <v>92</v>
      </c>
      <c r="G8" s="3" t="s">
        <v>16</v>
      </c>
      <c r="H8" s="1">
        <v>90</v>
      </c>
      <c r="M8" s="3" t="s">
        <v>16</v>
      </c>
      <c r="N8" s="1">
        <v>92</v>
      </c>
    </row>
    <row r="9" spans="1:14" x14ac:dyDescent="0.3">
      <c r="A9" s="3" t="s">
        <v>14</v>
      </c>
      <c r="B9" s="1">
        <v>85</v>
      </c>
      <c r="D9" s="3" t="s">
        <v>14</v>
      </c>
      <c r="E9" s="1">
        <v>80</v>
      </c>
      <c r="G9" s="3" t="s">
        <v>14</v>
      </c>
      <c r="H9" s="1">
        <v>86</v>
      </c>
      <c r="M9" s="3" t="s">
        <v>14</v>
      </c>
      <c r="N9" s="1">
        <v>80</v>
      </c>
    </row>
    <row r="10" spans="1:14" x14ac:dyDescent="0.3">
      <c r="A10" s="3" t="s">
        <v>12</v>
      </c>
      <c r="B10" s="1">
        <v>90</v>
      </c>
      <c r="D10" s="3" t="s">
        <v>12</v>
      </c>
      <c r="E10" s="1">
        <v>90</v>
      </c>
      <c r="G10" s="3" t="s">
        <v>12</v>
      </c>
      <c r="H10" s="1">
        <v>90</v>
      </c>
      <c r="M10" s="3" t="s">
        <v>12</v>
      </c>
      <c r="N10" s="1">
        <v>85</v>
      </c>
    </row>
    <row r="11" spans="1:14" x14ac:dyDescent="0.3">
      <c r="A11" s="3" t="s">
        <v>29</v>
      </c>
      <c r="B11" s="1">
        <v>86</v>
      </c>
      <c r="D11" s="3" t="s">
        <v>29</v>
      </c>
      <c r="E11" s="1">
        <v>87</v>
      </c>
      <c r="G11" s="3" t="s">
        <v>29</v>
      </c>
      <c r="H11" s="1">
        <v>90</v>
      </c>
      <c r="M11" s="3" t="s">
        <v>29</v>
      </c>
      <c r="N11" s="1">
        <v>93</v>
      </c>
    </row>
    <row r="12" spans="1:14" x14ac:dyDescent="0.3">
      <c r="A12" s="3" t="s">
        <v>24</v>
      </c>
      <c r="B12" s="1">
        <v>92</v>
      </c>
      <c r="D12" s="3" t="s">
        <v>24</v>
      </c>
      <c r="E12" s="1">
        <v>93</v>
      </c>
      <c r="G12" s="3" t="s">
        <v>24</v>
      </c>
      <c r="H12" s="1">
        <v>92</v>
      </c>
      <c r="M12" s="3" t="s">
        <v>24</v>
      </c>
      <c r="N12" s="1">
        <v>78</v>
      </c>
    </row>
    <row r="13" spans="1:14" x14ac:dyDescent="0.3">
      <c r="A13" s="3" t="s">
        <v>25</v>
      </c>
      <c r="B13" s="1">
        <v>80</v>
      </c>
      <c r="D13" s="3" t="s">
        <v>25</v>
      </c>
      <c r="E13" s="1">
        <v>75</v>
      </c>
      <c r="G13" s="3" t="s">
        <v>25</v>
      </c>
      <c r="H13" s="1">
        <v>78</v>
      </c>
      <c r="M13" s="3" t="s">
        <v>25</v>
      </c>
      <c r="N13" s="1">
        <v>75</v>
      </c>
    </row>
    <row r="14" spans="1:14" x14ac:dyDescent="0.3">
      <c r="A14" s="3" t="s">
        <v>32</v>
      </c>
      <c r="B14" s="1">
        <v>875</v>
      </c>
      <c r="D14" s="3" t="s">
        <v>32</v>
      </c>
      <c r="E14" s="1">
        <v>854</v>
      </c>
      <c r="G14" s="3" t="s">
        <v>32</v>
      </c>
      <c r="H14" s="1">
        <v>885</v>
      </c>
      <c r="M14" s="3" t="s">
        <v>32</v>
      </c>
      <c r="N14" s="1">
        <v>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85CA-B6C9-410C-A194-3334A7695ACD}">
  <dimension ref="A1"/>
  <sheetViews>
    <sheetView workbookViewId="0">
      <selection activeCell="O42" sqref="O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 table</vt:lpstr>
      <vt:lpstr>graphical 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 M</dc:creator>
  <cp:lastModifiedBy>Hema M</cp:lastModifiedBy>
  <dcterms:created xsi:type="dcterms:W3CDTF">2026-09-11T14:08:38Z</dcterms:created>
  <dcterms:modified xsi:type="dcterms:W3CDTF">2026-09-11T15:15:58Z</dcterms:modified>
</cp:coreProperties>
</file>